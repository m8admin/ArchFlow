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5"/>
  </sheets>
  <definedNames/>
  <calcPr/>
</workbook>
</file>

<file path=xl/sharedStrings.xml><?xml version="1.0" encoding="utf-8"?>
<sst xmlns="http://schemas.openxmlformats.org/spreadsheetml/2006/main" count="104" uniqueCount="66">
  <si>
    <t>Project Name:</t>
  </si>
  <si>
    <t>GYP</t>
  </si>
  <si>
    <t>Client:</t>
  </si>
  <si>
    <t>Project Layout</t>
  </si>
  <si>
    <t>Lot</t>
  </si>
  <si>
    <t>Building</t>
  </si>
  <si>
    <t>Typical Floor #</t>
  </si>
  <si>
    <t>Floors in Typical</t>
  </si>
  <si>
    <t>Typical SQM</t>
  </si>
  <si>
    <t>Notes</t>
  </si>
  <si>
    <t>A</t>
  </si>
  <si>
    <t>-3</t>
  </si>
  <si>
    <t>-1, -2</t>
  </si>
  <si>
    <t>0</t>
  </si>
  <si>
    <t>1</t>
  </si>
  <si>
    <t>2-4</t>
  </si>
  <si>
    <t>5-7</t>
  </si>
  <si>
    <t>8</t>
  </si>
  <si>
    <t>9</t>
  </si>
  <si>
    <t>B</t>
  </si>
  <si>
    <t>-3 - -1</t>
  </si>
  <si>
    <t>1-4</t>
  </si>
  <si>
    <t>C</t>
  </si>
  <si>
    <t>Mirror of B1</t>
  </si>
  <si>
    <t>Mirror of B2</t>
  </si>
  <si>
    <t>Mirror of B3</t>
  </si>
  <si>
    <t>Mirror of B4</t>
  </si>
  <si>
    <t>Mirror of B5</t>
  </si>
  <si>
    <t>Mirror of B6</t>
  </si>
  <si>
    <t>D</t>
  </si>
  <si>
    <t>-3, -2</t>
  </si>
  <si>
    <t>-1</t>
  </si>
  <si>
    <t>5-8</t>
  </si>
  <si>
    <t>E</t>
  </si>
  <si>
    <t>Totals</t>
  </si>
  <si>
    <t>Budget</t>
  </si>
  <si>
    <t>Coefficiencies</t>
  </si>
  <si>
    <t>ID-Auto Time (1sqm)</t>
  </si>
  <si>
    <t>Phase-A Modeller (1sqm)</t>
  </si>
  <si>
    <t>Average SQM per Typical</t>
  </si>
  <si>
    <t>ID-Auto Time Total</t>
  </si>
  <si>
    <t>Phase-A Modeller Total</t>
  </si>
  <si>
    <t>Budget Type</t>
  </si>
  <si>
    <t>Expanse</t>
  </si>
  <si>
    <t>Hour ILS</t>
  </si>
  <si>
    <t># Hours Cal.</t>
  </si>
  <si>
    <t>Cost</t>
  </si>
  <si>
    <t>Milestone</t>
  </si>
  <si>
    <t>Risk Ratio</t>
  </si>
  <si>
    <t>Under</t>
  </si>
  <si>
    <t>VAT IL</t>
  </si>
  <si>
    <t>Exp. Budget</t>
  </si>
  <si>
    <t>ID-Auto</t>
  </si>
  <si>
    <t>Ran Anafi</t>
  </si>
  <si>
    <t>Phase-A Modeller</t>
  </si>
  <si>
    <t>NextLine Arch</t>
  </si>
  <si>
    <t>Phase-B Modeller</t>
  </si>
  <si>
    <t>Operational Factor</t>
  </si>
  <si>
    <t>A+B</t>
  </si>
  <si>
    <t>-</t>
  </si>
  <si>
    <t>Total Operational Budget</t>
  </si>
  <si>
    <t>% Revenue</t>
  </si>
  <si>
    <t>Clients Cost</t>
  </si>
  <si>
    <t>Revenue - Operational</t>
  </si>
  <si>
    <t>Revenue - After Tax</t>
  </si>
  <si>
    <t>Act. Budget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</si>
</sst>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/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3C2"/>
        <bgColor rgb="FFFFF3C2"/>
      </patternFill>
    </fill>
    <fill>
      <patternFill patternType="solid">
        <fgColor rgb="FFBCEFC1"/>
        <bgColor rgb="FFBCEFC1"/>
      </patternFill>
    </fill>
    <fill>
      <patternFill patternType="solid">
        <fgColor rgb="FFB3D8F6"/>
        <bgColor rgb="FFB3D8F6"/>
      </patternFill>
    </fill>
    <fill>
      <patternFill patternType="solid">
        <fgColor rgb="FFF3F3F3"/>
        <bgColor rgb="FFF3F3F3"/>
      </patternFill>
    </fill>
    <fill>
      <patternFill patternType="solid">
        <fgColor rgb="FFFFE88B"/>
        <bgColor rgb="FFFFE88B"/>
      </patternFill>
    </fill>
  </fills>
  <borders count="7">
    <border/>
    <border>
      <top style="medium">
        <color rgb="FF000000"/>
      </top>
      <bottom style="medium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top style="medium">
        <color rgb="FF000000"/>
      </top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readingOrder="0" vertical="center"/>
    </xf>
    <xf borderId="0" fillId="2" fontId="1" numFmtId="0" xfId="0" applyAlignment="1" applyFont="1">
      <alignment horizontal="left" readingOrder="0" vertical="center"/>
    </xf>
    <xf borderId="0" fillId="2" fontId="2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3" fontId="3" numFmtId="0" xfId="0" applyAlignment="1" applyBorder="1" applyFill="1" applyFont="1">
      <alignment horizontal="center" readingOrder="0" vertical="center"/>
    </xf>
    <xf borderId="1" fillId="3" fontId="3" numFmtId="0" xfId="0" applyAlignment="1" applyBorder="1" applyFont="1">
      <alignment horizontal="left" readingOrder="0" vertical="center"/>
    </xf>
    <xf borderId="1" fillId="0" fontId="4" numFmtId="0" xfId="0" applyBorder="1" applyFont="1"/>
    <xf borderId="2" fillId="0" fontId="5" numFmtId="0" xfId="0" applyAlignment="1" applyBorder="1" applyFont="1">
      <alignment horizontal="center" readingOrder="0" vertical="center"/>
    </xf>
    <xf borderId="2" fillId="0" fontId="6" numFmtId="0" xfId="0" applyAlignment="1" applyBorder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3" fillId="0" fontId="2" numFmtId="0" xfId="0" applyAlignment="1" applyBorder="1" applyFont="1">
      <alignment horizontal="center" readingOrder="0" vertical="center"/>
    </xf>
    <xf borderId="3" fillId="0" fontId="7" numFmtId="49" xfId="0" applyAlignment="1" applyBorder="1" applyFont="1" applyNumberFormat="1">
      <alignment horizontal="center" vertical="center"/>
    </xf>
    <xf borderId="3" fillId="0" fontId="7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7" numFmtId="49" xfId="0" applyAlignment="1" applyFont="1" applyNumberFormat="1">
      <alignment horizontal="center" readingOrder="0" vertical="center"/>
    </xf>
    <xf borderId="0" fillId="0" fontId="7" numFmtId="49" xfId="0" applyAlignment="1" applyFont="1" applyNumberFormat="1">
      <alignment horizontal="center" vertical="center"/>
    </xf>
    <xf borderId="2" fillId="0" fontId="4" numFmtId="0" xfId="0" applyBorder="1" applyFont="1"/>
    <xf borderId="4" fillId="0" fontId="2" numFmtId="0" xfId="0" applyAlignment="1" applyBorder="1" applyFont="1">
      <alignment horizontal="center" vertical="center"/>
    </xf>
    <xf borderId="2" fillId="0" fontId="7" numFmtId="49" xfId="0" applyAlignment="1" applyBorder="1" applyFont="1" applyNumberFormat="1">
      <alignment horizontal="center" readingOrder="0" vertical="center"/>
    </xf>
    <xf borderId="2" fillId="0" fontId="7" numFmtId="0" xfId="0" applyAlignment="1" applyBorder="1" applyFont="1">
      <alignment horizontal="center" vertical="center"/>
    </xf>
    <xf borderId="3" fillId="0" fontId="7" numFmtId="49" xfId="0" applyAlignment="1" applyBorder="1" applyFont="1" applyNumberFormat="1">
      <alignment horizontal="center" readingOrder="0" vertical="center"/>
    </xf>
    <xf borderId="3" fillId="0" fontId="7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vertical="center"/>
    </xf>
    <xf borderId="1" fillId="0" fontId="5" numFmtId="1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5" fillId="4" fontId="3" numFmtId="0" xfId="0" applyAlignment="1" applyBorder="1" applyFill="1" applyFont="1">
      <alignment horizontal="center" readingOrder="0" vertical="center"/>
    </xf>
    <xf borderId="5" fillId="4" fontId="3" numFmtId="0" xfId="0" applyAlignment="1" applyBorder="1" applyFont="1">
      <alignment horizontal="left" readingOrder="0" vertical="center"/>
    </xf>
    <xf borderId="5" fillId="0" fontId="4" numFmtId="0" xfId="0" applyBorder="1" applyFont="1"/>
    <xf borderId="5" fillId="5" fontId="2" numFmtId="0" xfId="0" applyAlignment="1" applyBorder="1" applyFill="1" applyFont="1">
      <alignment horizontal="center" readingOrder="0" vertical="center"/>
    </xf>
    <xf borderId="5" fillId="5" fontId="2" numFmtId="0" xfId="0" applyAlignment="1" applyBorder="1" applyFont="1">
      <alignment horizontal="center" vertical="center"/>
    </xf>
    <xf borderId="0" fillId="5" fontId="2" numFmtId="0" xfId="0" applyAlignment="1" applyFont="1">
      <alignment horizontal="center" readingOrder="0" vertical="center"/>
    </xf>
    <xf borderId="0" fillId="5" fontId="2" numFmtId="0" xfId="0" applyAlignment="1" applyFont="1">
      <alignment horizontal="center" vertical="center"/>
    </xf>
    <xf borderId="0" fillId="5" fontId="2" numFmtId="1" xfId="0" applyAlignment="1" applyFont="1" applyNumberFormat="1">
      <alignment horizontal="center" vertical="center"/>
    </xf>
    <xf borderId="6" fillId="0" fontId="4" numFmtId="0" xfId="0" applyBorder="1" applyFont="1"/>
    <xf borderId="6" fillId="5" fontId="2" numFmtId="0" xfId="0" applyAlignment="1" applyBorder="1" applyFont="1">
      <alignment horizontal="center" readingOrder="0" vertical="center"/>
    </xf>
    <xf borderId="6" fillId="5" fontId="2" numFmtId="1" xfId="0" applyAlignment="1" applyBorder="1" applyFont="1" applyNumberFormat="1">
      <alignment horizontal="center" vertical="center"/>
    </xf>
    <xf borderId="6" fillId="5" fontId="2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 vertical="center"/>
    </xf>
    <xf borderId="0" fillId="6" fontId="2" numFmtId="0" xfId="0" applyAlignment="1" applyFill="1" applyFont="1">
      <alignment horizontal="center" readingOrder="0" vertical="center"/>
    </xf>
    <xf borderId="0" fillId="6" fontId="2" numFmtId="1" xfId="0" applyAlignment="1" applyFont="1" applyNumberFormat="1">
      <alignment horizontal="center" vertical="center"/>
    </xf>
    <xf borderId="0" fillId="6" fontId="2" numFmtId="3" xfId="0" applyAlignment="1" applyFont="1" applyNumberFormat="1">
      <alignment horizontal="center" vertical="center"/>
    </xf>
    <xf borderId="0" fillId="6" fontId="2" numFmtId="0" xfId="0" applyAlignment="1" applyFont="1">
      <alignment horizontal="center" vertical="center"/>
    </xf>
    <xf borderId="3" fillId="6" fontId="1" numFmtId="0" xfId="0" applyAlignment="1" applyBorder="1" applyFont="1">
      <alignment horizontal="center" readingOrder="0" vertical="center"/>
    </xf>
    <xf borderId="3" fillId="6" fontId="1" numFmtId="0" xfId="0" applyAlignment="1" applyBorder="1" applyFont="1">
      <alignment horizontal="center" vertical="center"/>
    </xf>
    <xf borderId="3" fillId="6" fontId="1" numFmtId="3" xfId="0" applyAlignment="1" applyBorder="1" applyFont="1" applyNumberFormat="1">
      <alignment horizontal="center" vertical="center"/>
    </xf>
    <xf borderId="0" fillId="6" fontId="1" numFmtId="0" xfId="0" applyAlignment="1" applyFont="1">
      <alignment horizontal="center" readingOrder="0" vertical="center"/>
    </xf>
    <xf borderId="0" fillId="6" fontId="1" numFmtId="0" xfId="0" applyAlignment="1" applyFont="1">
      <alignment horizontal="center" vertical="center"/>
    </xf>
    <xf borderId="0" fillId="6" fontId="1" numFmtId="9" xfId="0" applyAlignment="1" applyFont="1" applyNumberFormat="1">
      <alignment horizontal="center" readingOrder="0" vertical="center"/>
    </xf>
    <xf borderId="0" fillId="6" fontId="1" numFmtId="3" xfId="0" applyAlignment="1" applyFont="1" applyNumberFormat="1">
      <alignment horizontal="center" vertical="center"/>
    </xf>
    <xf borderId="2" fillId="6" fontId="1" numFmtId="0" xfId="0" applyAlignment="1" applyBorder="1" applyFont="1">
      <alignment horizontal="center" readingOrder="0" vertical="center"/>
    </xf>
    <xf borderId="2" fillId="6" fontId="1" numFmtId="0" xfId="0" applyAlignment="1" applyBorder="1" applyFont="1">
      <alignment horizontal="center" vertical="center"/>
    </xf>
    <xf borderId="2" fillId="6" fontId="1" numFmtId="3" xfId="0" applyAlignment="1" applyBorder="1" applyFont="1" applyNumberFormat="1">
      <alignment horizontal="center" vertical="center"/>
    </xf>
    <xf borderId="0" fillId="2" fontId="2" numFmtId="0" xfId="0" applyAlignment="1" applyFont="1">
      <alignment horizontal="center" readingOrder="0" vertical="center"/>
    </xf>
    <xf borderId="0" fillId="2" fontId="2" numFmtId="1" xfId="0" applyAlignment="1" applyFont="1" applyNumberFormat="1">
      <alignment horizontal="center" readingOrder="0" vertical="center"/>
    </xf>
    <xf borderId="0" fillId="2" fontId="2" numFmtId="3" xfId="0" applyAlignment="1" applyFont="1" applyNumberFormat="1">
      <alignment horizontal="center" vertical="center"/>
    </xf>
    <xf borderId="3" fillId="2" fontId="1" numFmtId="0" xfId="0" applyAlignment="1" applyBorder="1" applyFont="1">
      <alignment horizontal="center" readingOrder="0" vertical="center"/>
    </xf>
    <xf borderId="3" fillId="2" fontId="1" numFmtId="0" xfId="0" applyAlignment="1" applyBorder="1" applyFont="1">
      <alignment horizontal="center" vertical="center"/>
    </xf>
    <xf borderId="3" fillId="2" fontId="1" numFmtId="3" xfId="0" applyAlignment="1" applyBorder="1" applyFont="1" applyNumberFormat="1">
      <alignment horizontal="center" vertical="center"/>
    </xf>
    <xf borderId="0" fillId="2" fontId="1" numFmtId="0" xfId="0" applyAlignment="1" applyFont="1">
      <alignment horizontal="center" readingOrder="0" vertical="center"/>
    </xf>
    <xf borderId="0" fillId="2" fontId="1" numFmtId="0" xfId="0" applyAlignment="1" applyFont="1">
      <alignment horizontal="center" vertical="center"/>
    </xf>
    <xf borderId="0" fillId="2" fontId="1" numFmtId="9" xfId="0" applyAlignment="1" applyFont="1" applyNumberFormat="1">
      <alignment horizontal="center" readingOrder="0" vertical="center"/>
    </xf>
    <xf borderId="0" fillId="2" fontId="1" numFmtId="3" xfId="0" applyAlignment="1" applyFont="1" applyNumberFormat="1">
      <alignment horizontal="center" vertical="center"/>
    </xf>
    <xf borderId="6" fillId="2" fontId="1" numFmtId="0" xfId="0" applyAlignment="1" applyBorder="1" applyFont="1">
      <alignment horizontal="center" readingOrder="0" vertical="center"/>
    </xf>
    <xf borderId="6" fillId="2" fontId="1" numFmtId="0" xfId="0" applyAlignment="1" applyBorder="1" applyFont="1">
      <alignment horizontal="center" vertical="center"/>
    </xf>
    <xf borderId="6" fillId="2" fontId="1" numFmtId="3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75"/>
    <col customWidth="1" min="3" max="3" width="15.0"/>
    <col customWidth="1" min="4" max="4" width="16.75"/>
    <col customWidth="1" min="5" max="5" width="12.88"/>
  </cols>
  <sheetData>
    <row r="1" ht="26.25" customHeight="1">
      <c r="A1" s="1" t="s">
        <v>0</v>
      </c>
      <c r="B1" s="2" t="s">
        <v>1</v>
      </c>
      <c r="C1" s="1" t="s">
        <v>2</v>
      </c>
      <c r="D1" s="2">
        <v>1033.0</v>
      </c>
      <c r="E1" s="3"/>
      <c r="F1" s="3"/>
      <c r="G1" s="3"/>
      <c r="H1" s="3"/>
      <c r="I1" s="3"/>
      <c r="J1" s="3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1.0</v>
      </c>
      <c r="B2" s="6" t="s">
        <v>3</v>
      </c>
      <c r="C2" s="7"/>
      <c r="D2" s="7"/>
      <c r="E2" s="7"/>
      <c r="F2" s="7"/>
      <c r="G2" s="7"/>
      <c r="H2" s="7"/>
      <c r="I2" s="7"/>
      <c r="J2" s="7"/>
      <c r="K2" s="7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8" t="s">
        <v>4</v>
      </c>
      <c r="B3" s="8" t="s">
        <v>5</v>
      </c>
      <c r="C3" s="8" t="s">
        <v>6</v>
      </c>
      <c r="D3" s="8" t="s">
        <v>7</v>
      </c>
      <c r="E3" s="8" t="s">
        <v>8</v>
      </c>
      <c r="F3" s="8" t="s">
        <v>9</v>
      </c>
      <c r="G3" s="9"/>
      <c r="H3" s="9"/>
      <c r="I3" s="9"/>
      <c r="J3" s="9"/>
      <c r="K3" s="9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0">
        <v>111.0</v>
      </c>
      <c r="B4" s="11" t="s">
        <v>10</v>
      </c>
      <c r="C4" s="11">
        <v>1.0</v>
      </c>
      <c r="D4" s="12" t="s">
        <v>11</v>
      </c>
      <c r="E4" s="13">
        <v>21.5</v>
      </c>
      <c r="F4" s="1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C5" s="15">
        <v>2.0</v>
      </c>
      <c r="D5" s="16" t="s">
        <v>12</v>
      </c>
      <c r="E5" s="15">
        <v>23.5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C6" s="15">
        <v>3.0</v>
      </c>
      <c r="D6" s="16" t="s">
        <v>13</v>
      </c>
      <c r="E6" s="15">
        <v>65.0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C7" s="15">
        <v>4.0</v>
      </c>
      <c r="D7" s="17" t="s">
        <v>14</v>
      </c>
      <c r="E7" s="15">
        <v>35.0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C8" s="15">
        <v>5.0</v>
      </c>
      <c r="D8" s="17" t="s">
        <v>15</v>
      </c>
      <c r="E8" s="15">
        <v>35.0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C9" s="15">
        <v>6.0</v>
      </c>
      <c r="D9" s="17" t="s">
        <v>16</v>
      </c>
      <c r="E9" s="15">
        <v>28.6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C10" s="10">
        <v>7.0</v>
      </c>
      <c r="D10" s="17" t="s">
        <v>17</v>
      </c>
      <c r="E10" s="15">
        <v>18.7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C11" s="10">
        <v>8.0</v>
      </c>
      <c r="D11" s="16" t="s">
        <v>18</v>
      </c>
      <c r="E11" s="15">
        <v>20.0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B12" s="18"/>
      <c r="C12" s="19">
        <f>COUNT(C4:C11)</f>
        <v>8</v>
      </c>
      <c r="D12" s="19"/>
      <c r="E12" s="19">
        <f>SUM(E4:E11)</f>
        <v>247.3</v>
      </c>
      <c r="F12" s="19"/>
      <c r="G12" s="19"/>
      <c r="H12" s="19"/>
      <c r="I12" s="19"/>
      <c r="J12" s="19"/>
      <c r="K12" s="19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B13" s="10" t="s">
        <v>19</v>
      </c>
      <c r="C13" s="10">
        <v>1.0</v>
      </c>
      <c r="D13" s="17" t="s">
        <v>20</v>
      </c>
      <c r="E13" s="15">
        <v>8.0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C14" s="10">
        <v>2.0</v>
      </c>
      <c r="D14" s="16" t="s">
        <v>13</v>
      </c>
      <c r="E14" s="15">
        <v>49.0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C15" s="10">
        <v>3.0</v>
      </c>
      <c r="D15" s="17" t="s">
        <v>21</v>
      </c>
      <c r="E15" s="15">
        <v>32.0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C16" s="10">
        <v>4.0</v>
      </c>
      <c r="D16" s="17" t="s">
        <v>16</v>
      </c>
      <c r="E16" s="15">
        <v>28.0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C17" s="10">
        <v>5.0</v>
      </c>
      <c r="D17" s="17" t="s">
        <v>17</v>
      </c>
      <c r="E17" s="15">
        <v>20.0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C18" s="10">
        <v>6.0</v>
      </c>
      <c r="D18" s="20" t="s">
        <v>18</v>
      </c>
      <c r="E18" s="21">
        <v>19.0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B19" s="18"/>
      <c r="C19" s="19">
        <f>COUNT(C13:C18)</f>
        <v>6</v>
      </c>
      <c r="D19" s="19"/>
      <c r="E19" s="19">
        <f>SUM(E13:E18)</f>
        <v>156</v>
      </c>
      <c r="F19" s="19"/>
      <c r="G19" s="19"/>
      <c r="H19" s="19"/>
      <c r="I19" s="19"/>
      <c r="J19" s="19"/>
      <c r="K19" s="19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B20" s="10" t="s">
        <v>22</v>
      </c>
      <c r="C20" s="10">
        <v>1.0</v>
      </c>
      <c r="D20" s="17" t="s">
        <v>20</v>
      </c>
      <c r="E20" s="15">
        <v>8.0</v>
      </c>
      <c r="F20" s="10" t="s">
        <v>23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C21" s="10">
        <v>2.0</v>
      </c>
      <c r="D21" s="16" t="s">
        <v>13</v>
      </c>
      <c r="E21" s="15">
        <v>49.0</v>
      </c>
      <c r="F21" s="10" t="s">
        <v>24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C22" s="10">
        <v>3.0</v>
      </c>
      <c r="D22" s="17" t="s">
        <v>21</v>
      </c>
      <c r="E22" s="15">
        <v>32.0</v>
      </c>
      <c r="F22" s="10" t="s">
        <v>25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C23" s="10">
        <v>4.0</v>
      </c>
      <c r="D23" s="17" t="s">
        <v>16</v>
      </c>
      <c r="E23" s="15">
        <v>28.0</v>
      </c>
      <c r="F23" s="10" t="s">
        <v>26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C24" s="10">
        <v>5.0</v>
      </c>
      <c r="D24" s="17" t="s">
        <v>17</v>
      </c>
      <c r="E24" s="15">
        <v>20.0</v>
      </c>
      <c r="F24" s="10" t="s">
        <v>27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C25" s="10">
        <v>6.0</v>
      </c>
      <c r="D25" s="20" t="s">
        <v>18</v>
      </c>
      <c r="E25" s="21">
        <v>19.0</v>
      </c>
      <c r="F25" s="10" t="s">
        <v>28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8"/>
      <c r="B26" s="18"/>
      <c r="C26" s="19">
        <f>COUNT(C20:C25)</f>
        <v>6</v>
      </c>
      <c r="D26" s="19"/>
      <c r="E26" s="19">
        <f>SUM(E20:E25)</f>
        <v>156</v>
      </c>
      <c r="F26" s="19"/>
      <c r="G26" s="19"/>
      <c r="H26" s="19"/>
      <c r="I26" s="19"/>
      <c r="J26" s="19"/>
      <c r="K26" s="19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0">
        <v>105.0</v>
      </c>
      <c r="B27" s="10" t="s">
        <v>29</v>
      </c>
      <c r="C27" s="11">
        <v>1.0</v>
      </c>
      <c r="D27" s="22" t="s">
        <v>30</v>
      </c>
      <c r="E27" s="23">
        <v>9.2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C28" s="10">
        <v>2.0</v>
      </c>
      <c r="D28" s="17" t="s">
        <v>31</v>
      </c>
      <c r="E28" s="15">
        <v>25.0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C29" s="10">
        <v>3.0</v>
      </c>
      <c r="D29" s="16" t="s">
        <v>13</v>
      </c>
      <c r="E29" s="15">
        <v>64.0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C30" s="10">
        <v>4.0</v>
      </c>
      <c r="D30" s="17" t="s">
        <v>21</v>
      </c>
      <c r="E30" s="15">
        <v>49.0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C31" s="10">
        <v>5.0</v>
      </c>
      <c r="D31" s="17" t="s">
        <v>32</v>
      </c>
      <c r="E31" s="15">
        <v>28.6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C32" s="24">
        <v>6.0</v>
      </c>
      <c r="D32" s="20" t="s">
        <v>18</v>
      </c>
      <c r="E32" s="21">
        <v>21.0</v>
      </c>
      <c r="F32" s="25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B33" s="18"/>
      <c r="C33" s="19">
        <f>COUNT(C27:C32)</f>
        <v>6</v>
      </c>
      <c r="D33" s="19"/>
      <c r="E33" s="19">
        <f>SUM(E27:E32)</f>
        <v>196.8</v>
      </c>
      <c r="F33" s="19"/>
      <c r="G33" s="19"/>
      <c r="H33" s="19"/>
      <c r="I33" s="19"/>
      <c r="J33" s="19"/>
      <c r="K33" s="19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B34" s="10" t="s">
        <v>33</v>
      </c>
      <c r="C34" s="10">
        <v>1.0</v>
      </c>
      <c r="D34" s="16" t="s">
        <v>30</v>
      </c>
      <c r="E34" s="15">
        <v>15.8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C35" s="10">
        <v>2.0</v>
      </c>
      <c r="D35" s="17" t="s">
        <v>31</v>
      </c>
      <c r="E35" s="15">
        <v>26.67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C36" s="10">
        <v>3.0</v>
      </c>
      <c r="D36" s="16" t="s">
        <v>13</v>
      </c>
      <c r="E36" s="15">
        <v>59.4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C37" s="10">
        <v>4.0</v>
      </c>
      <c r="D37" s="17" t="s">
        <v>21</v>
      </c>
      <c r="E37" s="15">
        <v>49.0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C38" s="10">
        <v>5.0</v>
      </c>
      <c r="D38" s="17" t="s">
        <v>32</v>
      </c>
      <c r="E38" s="15">
        <v>28.6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C39" s="10">
        <v>6.0</v>
      </c>
      <c r="D39" s="20" t="s">
        <v>18</v>
      </c>
      <c r="E39" s="21">
        <v>21.0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8"/>
      <c r="B40" s="18"/>
      <c r="C40" s="14">
        <f>COUNT(C34:C39)</f>
        <v>6</v>
      </c>
      <c r="D40" s="14"/>
      <c r="E40" s="14">
        <f>SUM(E34:E39)</f>
        <v>200.47</v>
      </c>
      <c r="F40" s="14"/>
      <c r="G40" s="14"/>
      <c r="H40" s="14"/>
      <c r="I40" s="14"/>
      <c r="J40" s="14"/>
      <c r="K40" s="1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26" t="s">
        <v>34</v>
      </c>
      <c r="B41" s="7"/>
      <c r="C41" s="27">
        <f>C40+C33+C26+C19+C12</f>
        <v>32</v>
      </c>
      <c r="D41" s="27"/>
      <c r="E41" s="28">
        <f>E40+E33+E26+E19+E12</f>
        <v>956.57</v>
      </c>
      <c r="F41" s="29"/>
      <c r="G41" s="30"/>
      <c r="H41" s="30"/>
      <c r="I41" s="30"/>
      <c r="J41" s="30"/>
      <c r="K41" s="30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31">
        <v>2.0</v>
      </c>
      <c r="B43" s="32" t="s">
        <v>35</v>
      </c>
      <c r="C43" s="33"/>
      <c r="D43" s="33"/>
      <c r="E43" s="33"/>
      <c r="F43" s="33"/>
      <c r="G43" s="33"/>
      <c r="H43" s="33"/>
      <c r="I43" s="33"/>
      <c r="J43" s="33"/>
      <c r="K43" s="33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34" t="s">
        <v>36</v>
      </c>
      <c r="B44" s="34" t="s">
        <v>37</v>
      </c>
      <c r="C44" s="34">
        <v>0.016</v>
      </c>
      <c r="D44" s="35"/>
      <c r="E44" s="35"/>
      <c r="F44" s="35"/>
      <c r="G44" s="35"/>
      <c r="H44" s="35"/>
      <c r="I44" s="35"/>
      <c r="J44" s="35"/>
      <c r="K44" s="35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B45" s="36" t="s">
        <v>38</v>
      </c>
      <c r="C45" s="36">
        <v>0.066</v>
      </c>
      <c r="D45" s="37"/>
      <c r="E45" s="37"/>
      <c r="F45" s="37"/>
      <c r="G45" s="37"/>
      <c r="H45" s="37"/>
      <c r="I45" s="37"/>
      <c r="J45" s="37"/>
      <c r="K45" s="37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B46" s="36" t="s">
        <v>39</v>
      </c>
      <c r="C46" s="38">
        <f>E41/C41</f>
        <v>29.8928125</v>
      </c>
      <c r="D46" s="37"/>
      <c r="E46" s="37"/>
      <c r="F46" s="37"/>
      <c r="G46" s="37"/>
      <c r="H46" s="37"/>
      <c r="I46" s="37"/>
      <c r="J46" s="37"/>
      <c r="K46" s="37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B47" s="36" t="s">
        <v>40</v>
      </c>
      <c r="C47" s="38">
        <f t="shared" ref="C47:C48" si="1">($C$41*(C44*$C$46))</f>
        <v>15.30512</v>
      </c>
      <c r="D47" s="37"/>
      <c r="E47" s="37"/>
      <c r="F47" s="37"/>
      <c r="G47" s="37"/>
      <c r="H47" s="37"/>
      <c r="I47" s="37"/>
      <c r="J47" s="37"/>
      <c r="K47" s="37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39"/>
      <c r="B48" s="40" t="s">
        <v>41</v>
      </c>
      <c r="C48" s="41">
        <f t="shared" si="1"/>
        <v>63.13362</v>
      </c>
      <c r="D48" s="42"/>
      <c r="E48" s="42"/>
      <c r="F48" s="42"/>
      <c r="G48" s="42"/>
      <c r="H48" s="42"/>
      <c r="I48" s="42"/>
      <c r="J48" s="42"/>
      <c r="K48" s="42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8" t="s">
        <v>42</v>
      </c>
      <c r="B49" s="8" t="s">
        <v>43</v>
      </c>
      <c r="C49" s="8" t="s">
        <v>44</v>
      </c>
      <c r="D49" s="8" t="s">
        <v>45</v>
      </c>
      <c r="E49" s="8" t="s">
        <v>46</v>
      </c>
      <c r="F49" s="8" t="s">
        <v>47</v>
      </c>
      <c r="G49" s="8" t="s">
        <v>48</v>
      </c>
      <c r="H49" s="8" t="s">
        <v>49</v>
      </c>
      <c r="I49" s="43"/>
      <c r="J49" s="8" t="s">
        <v>50</v>
      </c>
      <c r="K49" s="8">
        <v>0.18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4" t="s">
        <v>51</v>
      </c>
      <c r="B50" s="44" t="s">
        <v>52</v>
      </c>
      <c r="C50" s="44">
        <v>200.0</v>
      </c>
      <c r="D50" s="45">
        <f t="shared" ref="D50:D51" si="2">C47*G50</f>
        <v>16.835632</v>
      </c>
      <c r="E50" s="46">
        <f t="shared" ref="E50:E51" si="3">roundup((C50*D50),-2)</f>
        <v>3400</v>
      </c>
      <c r="F50" s="44" t="s">
        <v>10</v>
      </c>
      <c r="G50" s="44">
        <v>1.1</v>
      </c>
      <c r="H50" s="44" t="s">
        <v>53</v>
      </c>
      <c r="I50" s="47"/>
      <c r="J50" s="47"/>
      <c r="K50" s="47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B51" s="44" t="s">
        <v>54</v>
      </c>
      <c r="C51" s="44">
        <v>170.0</v>
      </c>
      <c r="D51" s="45">
        <f t="shared" si="2"/>
        <v>69.446982</v>
      </c>
      <c r="E51" s="46">
        <f t="shared" si="3"/>
        <v>11900</v>
      </c>
      <c r="F51" s="44" t="s">
        <v>10</v>
      </c>
      <c r="G51" s="44">
        <v>1.1</v>
      </c>
      <c r="H51" s="44" t="s">
        <v>55</v>
      </c>
      <c r="I51" s="47"/>
      <c r="J51" s="47"/>
      <c r="K51" s="47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B52" s="44" t="s">
        <v>56</v>
      </c>
      <c r="C52" s="44">
        <v>200.0</v>
      </c>
      <c r="D52" s="45">
        <f>D51*G52</f>
        <v>27.7787928</v>
      </c>
      <c r="E52" s="46">
        <f>D52*C52</f>
        <v>5555.75856</v>
      </c>
      <c r="F52" s="44" t="s">
        <v>19</v>
      </c>
      <c r="G52" s="44">
        <v>0.4</v>
      </c>
      <c r="H52" s="44"/>
      <c r="I52" s="47"/>
      <c r="J52" s="47"/>
      <c r="K52" s="47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B53" s="44" t="s">
        <v>57</v>
      </c>
      <c r="C53" s="47"/>
      <c r="D53" s="47"/>
      <c r="E53" s="46">
        <f>(sum(E50:E52))*G53</f>
        <v>3128.363784</v>
      </c>
      <c r="F53" s="44" t="s">
        <v>58</v>
      </c>
      <c r="G53" s="44">
        <v>0.15</v>
      </c>
      <c r="H53" s="44" t="s">
        <v>59</v>
      </c>
      <c r="I53" s="47"/>
      <c r="J53" s="47"/>
      <c r="K53" s="47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B54" s="48" t="s">
        <v>60</v>
      </c>
      <c r="C54" s="49"/>
      <c r="D54" s="49"/>
      <c r="E54" s="50">
        <f>SUM(E50:E53)</f>
        <v>23984.12234</v>
      </c>
      <c r="F54" s="49"/>
      <c r="G54" s="49"/>
      <c r="H54" s="49"/>
      <c r="I54" s="49"/>
      <c r="J54" s="49"/>
      <c r="K54" s="49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B55" s="51" t="s">
        <v>61</v>
      </c>
      <c r="C55" s="52"/>
      <c r="D55" s="52"/>
      <c r="E55" s="53">
        <v>0.5</v>
      </c>
      <c r="F55" s="52"/>
      <c r="G55" s="52"/>
      <c r="H55" s="52"/>
      <c r="I55" s="52"/>
      <c r="J55" s="52"/>
      <c r="K55" s="52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B56" s="51" t="s">
        <v>62</v>
      </c>
      <c r="C56" s="52"/>
      <c r="D56" s="52"/>
      <c r="E56" s="54">
        <f>roundup((E54+(E54*E55)),-2)</f>
        <v>36000</v>
      </c>
      <c r="F56" s="52"/>
      <c r="G56" s="52"/>
      <c r="H56" s="52"/>
      <c r="I56" s="52"/>
      <c r="J56" s="52"/>
      <c r="K56" s="52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B57" s="51" t="s">
        <v>63</v>
      </c>
      <c r="C57" s="52"/>
      <c r="D57" s="52"/>
      <c r="E57" s="54">
        <f>E56-E54</f>
        <v>12015.87766</v>
      </c>
      <c r="F57" s="52"/>
      <c r="G57" s="52"/>
      <c r="H57" s="52"/>
      <c r="I57" s="52"/>
      <c r="J57" s="52"/>
      <c r="K57" s="52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8"/>
      <c r="B58" s="55" t="s">
        <v>64</v>
      </c>
      <c r="C58" s="56"/>
      <c r="D58" s="56"/>
      <c r="E58" s="57">
        <f>E57-(E57*K49)</f>
        <v>9853.019678</v>
      </c>
      <c r="F58" s="56"/>
      <c r="G58" s="56"/>
      <c r="H58" s="56"/>
      <c r="I58" s="56"/>
      <c r="J58" s="56"/>
      <c r="K58" s="56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58" t="s">
        <v>65</v>
      </c>
      <c r="B59" s="58" t="s">
        <v>52</v>
      </c>
      <c r="C59" s="58">
        <v>200.0</v>
      </c>
      <c r="D59" s="59">
        <v>0.0</v>
      </c>
      <c r="E59" s="60">
        <f t="shared" ref="E59:E60" si="4">roundup((C59*D59),-2)</f>
        <v>0</v>
      </c>
      <c r="F59" s="58" t="s">
        <v>10</v>
      </c>
      <c r="G59" s="58">
        <v>1.1</v>
      </c>
      <c r="H59" s="58" t="s">
        <v>53</v>
      </c>
      <c r="I59" s="3"/>
      <c r="J59" s="3"/>
      <c r="K59" s="3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B60" s="58" t="s">
        <v>54</v>
      </c>
      <c r="C60" s="58">
        <v>170.0</v>
      </c>
      <c r="D60" s="59">
        <v>0.0</v>
      </c>
      <c r="E60" s="60">
        <f t="shared" si="4"/>
        <v>0</v>
      </c>
      <c r="F60" s="58" t="s">
        <v>10</v>
      </c>
      <c r="G60" s="58">
        <v>1.1</v>
      </c>
      <c r="H60" s="58" t="s">
        <v>55</v>
      </c>
      <c r="I60" s="3"/>
      <c r="J60" s="3"/>
      <c r="K60" s="3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B61" s="58" t="s">
        <v>56</v>
      </c>
      <c r="C61" s="58">
        <v>200.0</v>
      </c>
      <c r="D61" s="59">
        <v>0.0</v>
      </c>
      <c r="E61" s="60">
        <f>D61*C61</f>
        <v>0</v>
      </c>
      <c r="F61" s="58" t="s">
        <v>19</v>
      </c>
      <c r="G61" s="58">
        <v>0.4</v>
      </c>
      <c r="H61" s="58"/>
      <c r="I61" s="3"/>
      <c r="J61" s="3"/>
      <c r="K61" s="3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B62" s="58" t="s">
        <v>57</v>
      </c>
      <c r="C62" s="3"/>
      <c r="D62" s="3"/>
      <c r="E62" s="60">
        <f>(sum(E59:E61))*G62</f>
        <v>0</v>
      </c>
      <c r="F62" s="58" t="s">
        <v>58</v>
      </c>
      <c r="G62" s="58">
        <v>0.15</v>
      </c>
      <c r="H62" s="58" t="s">
        <v>59</v>
      </c>
      <c r="I62" s="3"/>
      <c r="J62" s="3"/>
      <c r="K62" s="3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B63" s="61" t="s">
        <v>60</v>
      </c>
      <c r="C63" s="62"/>
      <c r="D63" s="62"/>
      <c r="E63" s="63">
        <f>SUM(E59:E62)</f>
        <v>0</v>
      </c>
      <c r="F63" s="62"/>
      <c r="G63" s="62"/>
      <c r="H63" s="62"/>
      <c r="I63" s="62"/>
      <c r="J63" s="62"/>
      <c r="K63" s="62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B64" s="64" t="s">
        <v>61</v>
      </c>
      <c r="C64" s="65"/>
      <c r="D64" s="65"/>
      <c r="E64" s="66">
        <v>0.5</v>
      </c>
      <c r="F64" s="65"/>
      <c r="G64" s="65"/>
      <c r="H64" s="65"/>
      <c r="I64" s="65"/>
      <c r="J64" s="65"/>
      <c r="K64" s="65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B65" s="64" t="s">
        <v>62</v>
      </c>
      <c r="C65" s="65"/>
      <c r="D65" s="65"/>
      <c r="E65" s="67">
        <f>roundup((E63+(E63*E64)),-2)</f>
        <v>0</v>
      </c>
      <c r="F65" s="65"/>
      <c r="G65" s="65"/>
      <c r="H65" s="65"/>
      <c r="I65" s="65"/>
      <c r="J65" s="65"/>
      <c r="K65" s="65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B66" s="64" t="s">
        <v>63</v>
      </c>
      <c r="C66" s="65"/>
      <c r="D66" s="65"/>
      <c r="E66" s="67">
        <f>E65-E63</f>
        <v>0</v>
      </c>
      <c r="F66" s="65"/>
      <c r="G66" s="65"/>
      <c r="H66" s="65"/>
      <c r="I66" s="65"/>
      <c r="J66" s="65"/>
      <c r="K66" s="65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39"/>
      <c r="B67" s="68" t="s">
        <v>64</v>
      </c>
      <c r="C67" s="69"/>
      <c r="D67" s="69"/>
      <c r="E67" s="70">
        <f>E66-(E66*K58)</f>
        <v>0</v>
      </c>
      <c r="F67" s="69"/>
      <c r="G67" s="69"/>
      <c r="H67" s="69"/>
      <c r="I67" s="69"/>
      <c r="J67" s="69"/>
      <c r="K67" s="69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3">
    <mergeCell ref="B34:B40"/>
    <mergeCell ref="A41:B41"/>
    <mergeCell ref="A44:A48"/>
    <mergeCell ref="A50:A58"/>
    <mergeCell ref="A59:A67"/>
    <mergeCell ref="B2:K2"/>
    <mergeCell ref="A4:A26"/>
    <mergeCell ref="B4:B12"/>
    <mergeCell ref="B13:B19"/>
    <mergeCell ref="B20:B26"/>
    <mergeCell ref="A27:A40"/>
    <mergeCell ref="B27:B33"/>
    <mergeCell ref="B43:K43"/>
  </mergeCells>
  <drawing r:id="rId1"/>
</worksheet>
</file>